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docProps/app.xml" ContentType="application/vnd.openxmlformats-officedocument.extended-propertie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BackCenterCameraCalibration" sheetId="1" state="visible" r:id="rId2"/>
  </sheets>
  <calcPr/>
  <extLst>
    <ext xmlns:x15="http://schemas.microsoft.com/office/spreadsheetml/2010/11/main" uri="{D0CA8CA8-9F24-4464-BF8E-62219DCF47F9}"/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<sst xmlns="http://schemas.openxmlformats.org/spreadsheetml/2006/main" count="17" uniqueCount="17">
  <si>
    <t xml:space="preserve">Raw Data</t>
  </si>
  <si>
    <t xml:space="preserve">Measured Inches</t>
  </si>
  <si>
    <t xml:space="preserve">Median Advantage Scope Readings</t>
  </si>
  <si>
    <t xml:space="preserve">Average Advantage Scope Readings</t>
  </si>
  <si>
    <t xml:space="preserve">STD Dev in Measurements</t>
  </si>
  <si>
    <t xml:space="preserve">Measurement 1</t>
  </si>
  <si>
    <t xml:space="preserve">Measurement 2</t>
  </si>
  <si>
    <t xml:space="preserve">Measurement 3</t>
  </si>
  <si>
    <t xml:space="preserve">Measurement 4</t>
  </si>
  <si>
    <t xml:space="preserve">Measurement 5</t>
  </si>
  <si>
    <t xml:space="preserve">Error Measurement 1</t>
  </si>
  <si>
    <t xml:space="preserve">Std Dev Per Measurement</t>
  </si>
  <si>
    <t xml:space="preserve">Final Stats Values</t>
  </si>
  <si>
    <t xml:space="preserve">Average STD Dev:</t>
  </si>
  <si>
    <t xml:space="preserve">Maximum STD Dev:</t>
  </si>
  <si>
    <t xml:space="preserve">Median STD Dev:</t>
  </si>
  <si>
    <t xml:space="preserve">Final StdDev Value for Camera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</si>
</sst>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color theme="1"/>
      <name val="Calibri"/>
      <scheme val="minor"/>
    </font>
    <font>
      <b/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6">
    <border>
      <left style="none"/>
      <right style="none"/>
      <top style="none"/>
      <bottom style="none"/>
      <diagonal style="none"/>
    </border>
    <border>
      <left style="thick">
        <color theme="4" tint="-0.249977111117893"/>
      </left>
      <right style="thick">
        <color theme="4" tint="-0.249977111117893"/>
      </right>
      <top style="thick">
        <color theme="4" tint="-0.249977111117893"/>
      </top>
      <bottom style="thick">
        <color theme="4" tint="-0.249977111117893"/>
      </bottom>
      <diagonal style="none"/>
    </border>
    <border>
      <left style="thick">
        <color theme="5" tint="-0.249977111117893"/>
      </left>
      <right style="thick">
        <color theme="5" tint="-0.249977111117893"/>
      </right>
      <top style="thick">
        <color theme="5" tint="-0.249977111117893"/>
      </top>
      <bottom style="thick">
        <color theme="5" tint="-0.249977111117893"/>
      </bottom>
      <diagonal style="none"/>
    </border>
    <border>
      <left style="thick">
        <color theme="9" tint="-0.249977111117893"/>
      </left>
      <right/>
      <top style="thick">
        <color theme="9" tint="-0.249977111117893"/>
      </top>
      <bottom style="thick">
        <color theme="9" tint="-0.249977111117893"/>
      </bottom>
      <diagonal/>
    </border>
    <border>
      <left/>
      <right style="thick">
        <color theme="9" tint="-0.249977111117893"/>
      </right>
      <top style="thick">
        <color theme="9" tint="-0.249977111117893"/>
      </top>
      <bottom style="thick">
        <color theme="9" tint="-0.249977111117893"/>
      </bottom>
      <diagonal/>
    </border>
    <border>
      <left style="thick">
        <color theme="9" tint="-0.249977111117893"/>
      </left>
      <right style="thick">
        <color theme="9" tint="-0.249977111117893"/>
      </right>
      <top style="thick">
        <color theme="9" tint="-0.249977111117893"/>
      </top>
      <bottom style="thick">
        <color theme="9" tint="-0.249977111117893"/>
      </bottom>
      <diagonal style="none"/>
    </border>
  </borders>
  <cellStyleXfs count="1">
    <xf fontId="0" fillId="0" borderId="0" numFmtId="0" applyNumberFormat="1" applyFont="1" applyFill="1" applyBorder="1"/>
  </cellStyleXfs>
  <cellXfs count="12">
    <xf fontId="0" fillId="0" borderId="0" numFmtId="0" xfId="0"/>
    <xf fontId="0" fillId="0" borderId="1" numFmtId="0" xfId="0" applyBorder="1" applyAlignment="1">
      <alignment horizontal="center"/>
    </xf>
    <xf fontId="0" fillId="0" borderId="0" numFmtId="0" xfId="0"/>
    <xf fontId="0" fillId="0" borderId="1" numFmtId="0" xfId="0" applyBorder="1"/>
    <xf fontId="0" fillId="0" borderId="1" numFmtId="0" xfId="0" applyBorder="1"/>
    <xf fontId="0" fillId="0" borderId="1" numFmtId="0" xfId="0" applyBorder="1" applyAlignment="1">
      <alignment horizontal="center"/>
    </xf>
    <xf fontId="0" fillId="0" borderId="2" numFmtId="0" xfId="0" applyBorder="1" applyAlignment="1">
      <alignment horizontal="center"/>
    </xf>
    <xf fontId="0" fillId="0" borderId="3" numFmtId="0" xfId="0" applyBorder="1" applyAlignment="1">
      <alignment horizontal="center"/>
    </xf>
    <xf fontId="0" fillId="0" borderId="4" numFmtId="0" xfId="0" applyBorder="1" applyAlignment="1">
      <alignment horizontal="center"/>
    </xf>
    <xf fontId="0" fillId="0" borderId="2" numFmtId="0" xfId="0" applyBorder="1" applyAlignment="1">
      <alignment horizontal="center"/>
    </xf>
    <xf fontId="0" fillId="0" borderId="5" numFmtId="0" xfId="0" applyBorder="1" applyAlignment="1">
      <alignment horizontal="center"/>
    </xf>
    <xf fontId="1" fillId="0" borderId="5" numFmt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sheetMetadata" Target="metadata.xml"/><Relationship  Id="rId2" Type="http://schemas.openxmlformats.org/officeDocument/2006/relationships/worksheet" Target="worksheets/sheet1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bestFit="1" min="2" max="2" width="14.28125"/>
    <col customWidth="1" min="3" max="3" width="22.7109375"/>
    <col bestFit="1" customWidth="1" min="4" max="4" width="30.421875"/>
    <col bestFit="1" customWidth="1" min="5" max="5" width="30.921875"/>
    <col bestFit="1" customWidth="1" min="6" max="6" width="23.421875"/>
    <col bestFit="1" customWidth="1" min="7" max="7" width="23.07421875"/>
    <col bestFit="1" min="8" max="9" width="14.28125"/>
    <col min="10" max="10" width="14.28125"/>
    <col bestFit="1" min="11" max="13" width="14.28125"/>
    <col bestFit="1" min="15" max="17" width="19.00390625"/>
    <col customWidth="1" min="18" max="18" width="35.57421875"/>
    <col bestFit="1" min="19" max="19" width="19.00390625"/>
  </cols>
  <sheetData>
    <row r="1" ht="14.25">
      <c r="B1" s="1" t="s">
        <v>0</v>
      </c>
      <c r="C1" s="1"/>
      <c r="D1" s="1"/>
      <c r="E1" s="1"/>
      <c r="F1" s="1"/>
      <c r="G1" s="2"/>
    </row>
    <row r="2" ht="14.25">
      <c r="B2" s="3"/>
      <c r="C2" s="3" t="s">
        <v>1</v>
      </c>
      <c r="D2" s="4" t="s">
        <v>2</v>
      </c>
      <c r="E2" s="4" t="s">
        <v>3</v>
      </c>
      <c r="F2" s="3" t="s">
        <v>4</v>
      </c>
      <c r="I2" t="s">
        <v>5</v>
      </c>
      <c r="J2" t="s">
        <v>6</v>
      </c>
      <c r="K2" t="s">
        <v>7</v>
      </c>
      <c r="L2" t="s">
        <v>8</v>
      </c>
      <c r="M2" t="s">
        <v>9</v>
      </c>
      <c r="O2" t="s">
        <v>10</v>
      </c>
      <c r="P2" t="s">
        <v>10</v>
      </c>
      <c r="Q2" t="s">
        <v>10</v>
      </c>
      <c r="R2" t="s">
        <v>10</v>
      </c>
      <c r="S2" t="s">
        <v>10</v>
      </c>
    </row>
    <row r="3" ht="14.25">
      <c r="B3" s="3" t="s">
        <v>5</v>
      </c>
      <c r="C3" s="5">
        <f>ROUND(1.0652,4)</f>
        <v>1.0651999999999999</v>
      </c>
      <c r="D3" s="5">
        <f>ROUND(MEDIAN(I:I),4)</f>
        <v>1.294</v>
      </c>
      <c r="E3" s="5">
        <f>ROUND(AVERAGE(I:I),4)</f>
        <v>1.2936000000000001</v>
      </c>
      <c r="F3" s="5">
        <f>ROUND(STDEV(M3:M100),4)</f>
        <v>0.043700000000000003</v>
      </c>
      <c r="I3">
        <v>1.2876755845979884</v>
      </c>
      <c r="J3">
        <v>2.3924995249614982</v>
      </c>
      <c r="K3">
        <v>3.2850523191463048</v>
      </c>
      <c r="L3">
        <v>4.1593960793306541</v>
      </c>
      <c r="M3">
        <v>5.2440644174641911</v>
      </c>
      <c r="O3" cm="1">
        <f t="array" ref="O3:O26">I3:I26-C3</f>
        <v>0.22247558459798844</v>
      </c>
      <c r="P3" cm="1">
        <f t="array" ref="P3:P26">J3:J26-C4</f>
        <v>0.17629952496149803</v>
      </c>
      <c r="Q3" cm="1">
        <f t="array" ref="Q3:Q26">K3:K26-C5</f>
        <v>0.23705231914630476</v>
      </c>
      <c r="R3" cm="1">
        <f t="array" ref="R3:R26">L3:L26-C6</f>
        <v>0.063596079330654476</v>
      </c>
      <c r="S3" cm="1">
        <f t="array" ref="S3:S26">M3:M26-C7</f>
        <v>-0.13443558253580878</v>
      </c>
    </row>
    <row r="4" ht="14.25">
      <c r="B4" s="3" t="s">
        <v>6</v>
      </c>
      <c r="C4" s="5">
        <f>ROUND(87.25*0.0254,4)</f>
        <v>2.2162000000000002</v>
      </c>
      <c r="D4" s="5">
        <f>ROUND(MEDIAN(J:J),4)</f>
        <v>2.2770000000000001</v>
      </c>
      <c r="E4" s="5">
        <f>ROUND(AVERAGE(J:J),4)</f>
        <v>2.2850999999999999</v>
      </c>
      <c r="F4" s="5">
        <f>ROUND(STDEV(L3:L100),4)</f>
        <v>0.041099999999999998</v>
      </c>
      <c r="I4">
        <v>1.2880541053854666</v>
      </c>
      <c r="J4">
        <v>2.383321702263884</v>
      </c>
      <c r="K4">
        <v>3.2528858389156863</v>
      </c>
      <c r="L4">
        <v>4.1452786379979081</v>
      </c>
      <c r="M4">
        <v>5.2743716238290101</v>
      </c>
      <c r="O4">
        <f/>
        <v>0.22285410538546668</v>
      </c>
      <c r="P4">
        <f/>
        <v>0.16712170226388379</v>
      </c>
      <c r="Q4">
        <f/>
        <v>0.20488583891568624</v>
      </c>
      <c r="R4">
        <f/>
        <v>0.049478637997908415</v>
      </c>
      <c r="S4">
        <f/>
        <v>-0.10412837617098969</v>
      </c>
    </row>
    <row r="5" ht="14.25">
      <c r="B5" s="3" t="s">
        <v>7</v>
      </c>
      <c r="C5" s="5">
        <f>ROUND(3.048,4)</f>
        <v>3.048</v>
      </c>
      <c r="D5" s="5">
        <f>ROUND(MEDIAN(K:K),4)</f>
        <v>3.1501999999999999</v>
      </c>
      <c r="E5" s="5">
        <f>ROUND(AVERAGE(K:K),4)</f>
        <v>3.1669999999999998</v>
      </c>
      <c r="F5" s="5">
        <f>ROUND(STDEV(K3:K100),4)</f>
        <v>0.057299999999999997</v>
      </c>
      <c r="I5">
        <v>1.2900014842198362</v>
      </c>
      <c r="J5">
        <v>2.3810821037848524</v>
      </c>
      <c r="K5">
        <v>3.2329385306131129</v>
      </c>
      <c r="L5">
        <v>4.1616667560302911</v>
      </c>
      <c r="M5">
        <v>5.2016385531321001</v>
      </c>
      <c r="O5">
        <f/>
        <v>0.22480148421983626</v>
      </c>
      <c r="P5">
        <f/>
        <v>0.16488210378485224</v>
      </c>
      <c r="Q5">
        <f/>
        <v>0.18493853061311283</v>
      </c>
      <c r="R5">
        <f/>
        <v>0.065866756030291462</v>
      </c>
      <c r="S5">
        <f/>
        <v>-0.17686144686789973</v>
      </c>
    </row>
    <row r="6" ht="14.25">
      <c r="B6" s="3" t="s">
        <v>8</v>
      </c>
      <c r="C6" s="1">
        <f>ROUND(4.09575,4)</f>
        <v>4.0957999999999997</v>
      </c>
      <c r="D6" s="5">
        <f>ROUND(MEDIAN(L:L),4)</f>
        <v>4.1528</v>
      </c>
      <c r="E6" s="5">
        <f>ROUND(AVERAGE(L:L),4)</f>
        <v>4.1424000000000003</v>
      </c>
      <c r="F6" s="5">
        <f>ROUND(STDEV(J3:J100),4)</f>
        <v>0.059499999999999997</v>
      </c>
      <c r="I6">
        <v>1.2887772169770297</v>
      </c>
      <c r="J6">
        <v>2.3604960898421408</v>
      </c>
      <c r="K6">
        <v>3.2519325607498595</v>
      </c>
      <c r="L6">
        <v>4.1659648147276673</v>
      </c>
      <c r="M6">
        <v>5.219846714047498</v>
      </c>
      <c r="O6">
        <f/>
        <v>0.22357721697702981</v>
      </c>
      <c r="P6">
        <f/>
        <v>0.1442960898421406</v>
      </c>
      <c r="Q6">
        <f/>
        <v>0.20393256074985944</v>
      </c>
      <c r="R6">
        <f/>
        <v>0.070164814727667668</v>
      </c>
      <c r="S6">
        <f/>
        <v>-0.15865328595250183</v>
      </c>
    </row>
    <row r="7" ht="14.25">
      <c r="B7" s="3" t="s">
        <v>9</v>
      </c>
      <c r="C7" s="5">
        <f>ROUND(5.37845,4)</f>
        <v>5.3784999999999998</v>
      </c>
      <c r="D7" s="5">
        <f>ROUND(MEDIAN(M:M),4)</f>
        <v>5.2000999999999999</v>
      </c>
      <c r="E7" s="5">
        <f>ROUND(AVERAGE(M:M),4)</f>
        <v>5.1999000000000004</v>
      </c>
      <c r="F7" s="5">
        <f>ROUND(STDEV(I3:I100),4)</f>
        <v>0.0032000000000000002</v>
      </c>
      <c r="I7">
        <v>1.2898201861846113</v>
      </c>
      <c r="J7">
        <v>2.35422243504456</v>
      </c>
      <c r="K7">
        <v>3.2374168043066525</v>
      </c>
      <c r="L7">
        <v>4.1415453466535528</v>
      </c>
      <c r="M7">
        <v>5.2497350145161672</v>
      </c>
      <c r="O7">
        <f/>
        <v>0.22462018618461133</v>
      </c>
      <c r="P7">
        <f/>
        <v>0.1380224350445598</v>
      </c>
      <c r="Q7">
        <f/>
        <v>0.18941680430665242</v>
      </c>
      <c r="R7">
        <f/>
        <v>0.045745346653553121</v>
      </c>
      <c r="S7">
        <f/>
        <v>-0.12876498548383264</v>
      </c>
    </row>
    <row r="8" ht="14.25">
      <c r="I8">
        <v>1.2903417410250786</v>
      </c>
      <c r="J8">
        <v>2.3500663228031979</v>
      </c>
      <c r="K8">
        <v>3.2250339485634436</v>
      </c>
      <c r="L8">
        <v>4.1527485311530494</v>
      </c>
      <c r="M8">
        <v>5.2789738324296431</v>
      </c>
      <c r="O8">
        <f/>
        <v>0.22514174102507867</v>
      </c>
      <c r="P8">
        <f/>
        <v>0.13386632280319777</v>
      </c>
      <c r="Q8">
        <f/>
        <v>0.17703394856344357</v>
      </c>
      <c r="R8">
        <f/>
        <v>0.056948531153049764</v>
      </c>
      <c r="S8">
        <f/>
        <v>-0.099526167570356705</v>
      </c>
    </row>
    <row r="9" ht="14.25">
      <c r="I9">
        <v>1.2917334178907804</v>
      </c>
      <c r="J9">
        <v>2.3399435339036008</v>
      </c>
      <c r="K9">
        <v>3.2165078838108379</v>
      </c>
      <c r="L9">
        <v>4.2269016511915707</v>
      </c>
      <c r="M9">
        <v>5.2691695841290285</v>
      </c>
      <c r="O9">
        <f/>
        <v>0.22653341789078052</v>
      </c>
      <c r="P9">
        <f/>
        <v>0.1237435339036006</v>
      </c>
      <c r="Q9">
        <f/>
        <v>0.16850788381083781</v>
      </c>
      <c r="R9">
        <f/>
        <v>0.13110165119157102</v>
      </c>
      <c r="S9">
        <f/>
        <v>-0.10933041587097136</v>
      </c>
    </row>
    <row r="10" ht="14.25">
      <c r="B10" s="6" t="s">
        <v>11</v>
      </c>
      <c r="C10" s="6"/>
      <c r="D10" s="2"/>
      <c r="E10" s="7" t="s">
        <v>12</v>
      </c>
      <c r="F10" s="8"/>
      <c r="I10">
        <v>1.2901367100148156</v>
      </c>
      <c r="J10">
        <v>2.3308471090431722</v>
      </c>
      <c r="K10">
        <v>3.2003025950092852</v>
      </c>
      <c r="L10">
        <v>4.1578438734980336</v>
      </c>
      <c r="M10">
        <v>5.2478207486856148</v>
      </c>
      <c r="O10">
        <f/>
        <v>0.22493671001481563</v>
      </c>
      <c r="P10">
        <f/>
        <v>0.11464710904317199</v>
      </c>
      <c r="Q10">
        <f/>
        <v>0.15230259500928511</v>
      </c>
      <c r="R10">
        <f/>
        <v>0.062043873498033975</v>
      </c>
      <c r="S10">
        <f/>
        <v>-0.13067925131438507</v>
      </c>
    </row>
    <row r="11" ht="14.25">
      <c r="B11" s="9" t="s">
        <v>5</v>
      </c>
      <c r="C11" s="9">
        <f>ROUND(SQRT(SUM((_xlfn.SINGLE(O3:O26))^2)/25),4)</f>
        <v>0.045100000000000001</v>
      </c>
      <c r="E11" s="10" t="s">
        <v>13</v>
      </c>
      <c r="F11" s="10">
        <f>ROUND(AVERAGE(C11:C15),4)</f>
        <v>0.0281</v>
      </c>
      <c r="I11">
        <v>1.2907995023593157</v>
      </c>
      <c r="J11">
        <v>2.3123719282304847</v>
      </c>
      <c r="K11">
        <v>3.2197948533746867</v>
      </c>
      <c r="L11">
        <v>4.1473151990929926</v>
      </c>
      <c r="M11">
        <v>5.2333446389227145</v>
      </c>
      <c r="O11">
        <f/>
        <v>0.22559950235931581</v>
      </c>
      <c r="P11">
        <f/>
        <v>0.096171928230484482</v>
      </c>
      <c r="Q11">
        <f/>
        <v>0.1717948533746867</v>
      </c>
      <c r="R11">
        <f/>
        <v>0.051515199092992958</v>
      </c>
      <c r="S11">
        <f/>
        <v>-0.14515536107728533</v>
      </c>
    </row>
    <row r="12" ht="14.25">
      <c r="B12" s="9" t="s">
        <v>6</v>
      </c>
      <c r="C12" s="9">
        <f>ROUND(SQRT(SUM((_xlfn.SINGLE(P3:P26))^2)/25),4)</f>
        <v>0.019300000000000001</v>
      </c>
      <c r="E12" s="10" t="s">
        <v>14</v>
      </c>
      <c r="F12" s="10">
        <f>ROUND(MAX(C11:C15),4)</f>
        <v>0.045100000000000001</v>
      </c>
      <c r="I12">
        <v>1.2916246965916389</v>
      </c>
      <c r="J12">
        <v>2.3125456790477785</v>
      </c>
      <c r="K12">
        <v>3.1773338351149856</v>
      </c>
      <c r="L12">
        <v>4.1753769506814482</v>
      </c>
      <c r="M12">
        <v>5.2282935988281283</v>
      </c>
      <c r="O12">
        <f/>
        <v>0.226424696591639</v>
      </c>
      <c r="P12">
        <f/>
        <v>0.096345679047778354</v>
      </c>
      <c r="Q12">
        <f/>
        <v>0.12933383511498553</v>
      </c>
      <c r="R12">
        <f/>
        <v>0.079576950681448544</v>
      </c>
      <c r="S12">
        <f/>
        <v>-0.15020640117187156</v>
      </c>
    </row>
    <row r="13" ht="14.25">
      <c r="B13" s="9" t="s">
        <v>7</v>
      </c>
      <c r="C13" s="9">
        <f>ROUND(SQRT(SUM((_xlfn.SINGLE(Q3:Q26))^2)/25),4)</f>
        <v>0.026599999999999999</v>
      </c>
      <c r="E13" s="10" t="s">
        <v>15</v>
      </c>
      <c r="F13" s="10">
        <f>ROUND(MEDIAN(C11:C15),4)</f>
        <v>0.026599999999999999</v>
      </c>
      <c r="I13">
        <v>1.2933823370835236</v>
      </c>
      <c r="J13">
        <v>2.3113188808246159</v>
      </c>
      <c r="K13">
        <v>3.1808507235341468</v>
      </c>
      <c r="L13">
        <v>4.1659938819105324</v>
      </c>
      <c r="M13">
        <v>5.2185726782231967</v>
      </c>
      <c r="O13">
        <f/>
        <v>0.22818233708352365</v>
      </c>
      <c r="P13">
        <f/>
        <v>0.095118880824615726</v>
      </c>
      <c r="Q13">
        <f/>
        <v>0.13285072353414673</v>
      </c>
      <c r="R13">
        <f/>
        <v>0.070193881910532774</v>
      </c>
      <c r="S13">
        <f/>
        <v>-0.15992732177680313</v>
      </c>
    </row>
    <row r="14" ht="14.25">
      <c r="B14" s="9" t="s">
        <v>8</v>
      </c>
      <c r="C14" s="9">
        <f>ROUND(SQRT(SUM((_xlfn.SINGLE(R3:R26))^2)/25),4)</f>
        <v>0.02</v>
      </c>
      <c r="E14" s="11" t="s">
        <v>16</v>
      </c>
      <c r="F14" s="11">
        <f>ROUND(MEDIAN(F11:F13),4)</f>
        <v>0.0281</v>
      </c>
      <c r="I14">
        <v>1.2926235752493664</v>
      </c>
      <c r="J14">
        <v>2.2971239141202995</v>
      </c>
      <c r="K14">
        <v>3.1822891721164832</v>
      </c>
      <c r="L14">
        <v>4.1956139562467865</v>
      </c>
      <c r="M14">
        <v>5.223998592807134</v>
      </c>
      <c r="O14">
        <f/>
        <v>0.22742357524936652</v>
      </c>
      <c r="P14">
        <f/>
        <v>0.080923914120299312</v>
      </c>
      <c r="Q14">
        <f/>
        <v>0.13428917211648317</v>
      </c>
      <c r="R14">
        <f/>
        <v>0.099813956246786795</v>
      </c>
      <c r="S14">
        <f/>
        <v>-0.15450140719286587</v>
      </c>
    </row>
    <row r="15" ht="14.25">
      <c r="B15" s="9" t="s">
        <v>9</v>
      </c>
      <c r="C15" s="9">
        <f>ROUND(SQRT(SUM((_xlfn.SINGLE(S3:S26))^2)/25),4)</f>
        <v>0.029399999999999999</v>
      </c>
      <c r="I15">
        <v>1.2940134971742929</v>
      </c>
      <c r="J15">
        <v>2.2929396341838419</v>
      </c>
      <c r="K15">
        <v>3.1735703132731747</v>
      </c>
      <c r="L15">
        <v>4.1587164625912143</v>
      </c>
      <c r="M15">
        <v>5.2314295193919813</v>
      </c>
      <c r="O15">
        <f/>
        <v>0.228813497174293</v>
      </c>
      <c r="P15">
        <f/>
        <v>0.076739634183841776</v>
      </c>
      <c r="Q15">
        <f/>
        <v>0.12557031327317469</v>
      </c>
      <c r="R15">
        <f/>
        <v>0.062916462591214639</v>
      </c>
      <c r="S15">
        <f/>
        <v>-0.14707048060801853</v>
      </c>
    </row>
    <row r="16" ht="14.25">
      <c r="I16">
        <v>1.2937045079234826</v>
      </c>
      <c r="J16">
        <v>2.283338832508448</v>
      </c>
      <c r="K16">
        <v>3.1476633781265733</v>
      </c>
      <c r="L16">
        <v>4.1300542381988459</v>
      </c>
      <c r="M16">
        <v>5.2098542694893037</v>
      </c>
      <c r="O16">
        <f/>
        <v>0.22850450792348265</v>
      </c>
      <c r="P16">
        <f/>
        <v>0.067138832508447877</v>
      </c>
      <c r="Q16">
        <f/>
        <v>0.099663378126573221</v>
      </c>
      <c r="R16">
        <f/>
        <v>0.03425423819884621</v>
      </c>
      <c r="S16">
        <f/>
        <v>-0.16864573051069609</v>
      </c>
    </row>
    <row r="17" ht="14.25">
      <c r="I17">
        <v>1.2954187486408875</v>
      </c>
      <c r="J17">
        <v>2.2706376572401914</v>
      </c>
      <c r="K17">
        <v>3.1322017820286989</v>
      </c>
      <c r="L17">
        <v>4.1585975225983187</v>
      </c>
      <c r="M17">
        <v>5.2001329911239935</v>
      </c>
      <c r="O17">
        <f/>
        <v>0.23021874864088754</v>
      </c>
      <c r="P17">
        <f/>
        <v>0.054437657240191228</v>
      </c>
      <c r="Q17">
        <f/>
        <v>0.084201782028698879</v>
      </c>
      <c r="R17">
        <f/>
        <v>0.062797522598319055</v>
      </c>
      <c r="S17">
        <f/>
        <v>-0.17836700887600632</v>
      </c>
    </row>
    <row r="18" ht="14.25">
      <c r="I18">
        <v>1.2967918619406522</v>
      </c>
      <c r="J18">
        <v>2.270370780860655</v>
      </c>
      <c r="K18">
        <v>3.1462203862146665</v>
      </c>
      <c r="L18">
        <v>4.180226408972306</v>
      </c>
      <c r="M18">
        <v>5.2450076081439416</v>
      </c>
      <c r="O18">
        <f/>
        <v>0.23159186194065229</v>
      </c>
      <c r="P18">
        <f/>
        <v>0.054170780860654855</v>
      </c>
      <c r="Q18">
        <f/>
        <v>0.098220386214666444</v>
      </c>
      <c r="R18">
        <f/>
        <v>0.084426408972306355</v>
      </c>
      <c r="S18">
        <f/>
        <v>-0.13349239185605821</v>
      </c>
    </row>
    <row r="19" ht="14.25">
      <c r="I19">
        <v>1.2964565717378023</v>
      </c>
      <c r="J19">
        <v>2.2582945696384273</v>
      </c>
      <c r="K19">
        <v>3.1501973091578108</v>
      </c>
      <c r="L19">
        <v>4.1042193095133443</v>
      </c>
      <c r="M19">
        <v>5.1929711127087215</v>
      </c>
      <c r="O19">
        <f/>
        <v>0.23125657173780234</v>
      </c>
      <c r="P19">
        <f/>
        <v>0.042094569638427171</v>
      </c>
      <c r="Q19">
        <f/>
        <v>0.10219730915781078</v>
      </c>
      <c r="R19">
        <f/>
        <v>0.008419309513344686</v>
      </c>
      <c r="S19">
        <f/>
        <v>-0.18552888729127837</v>
      </c>
    </row>
    <row r="20" ht="14.25">
      <c r="I20">
        <v>1.2971081053777016</v>
      </c>
      <c r="J20">
        <v>2.2520985265991058</v>
      </c>
      <c r="K20">
        <v>3.1081765524425458</v>
      </c>
      <c r="L20">
        <v>4.1527529430008778</v>
      </c>
      <c r="M20">
        <v>5.2454630410922523</v>
      </c>
      <c r="O20">
        <f/>
        <v>0.23190810537770168</v>
      </c>
      <c r="P20">
        <f/>
        <v>0.03589852659910564</v>
      </c>
      <c r="Q20">
        <f/>
        <v>0.060176552442545717</v>
      </c>
      <c r="R20">
        <f/>
        <v>0.056952943000878165</v>
      </c>
      <c r="S20">
        <f/>
        <v>-0.13303695890774758</v>
      </c>
    </row>
    <row r="21" ht="14.25">
      <c r="I21">
        <v>1.2971056335098117</v>
      </c>
      <c r="J21">
        <v>2.2508354497587444</v>
      </c>
      <c r="K21">
        <v>3.1229721284673904</v>
      </c>
      <c r="L21">
        <v>4.1069428058047963</v>
      </c>
      <c r="M21">
        <v>5.1641543082581798</v>
      </c>
      <c r="O21">
        <f/>
        <v>0.23190563350981175</v>
      </c>
      <c r="P21">
        <f/>
        <v>0.034635449758744219</v>
      </c>
      <c r="Q21">
        <f/>
        <v>0.07497212846739032</v>
      </c>
      <c r="R21">
        <f/>
        <v>0.011142805804796652</v>
      </c>
      <c r="S21">
        <f/>
        <v>-0.21434569174182005</v>
      </c>
    </row>
    <row r="22" ht="14.25">
      <c r="I22">
        <v>1.2981387233164996</v>
      </c>
      <c r="J22">
        <v>2.2363736608352962</v>
      </c>
      <c r="K22">
        <v>3.1391058283942206</v>
      </c>
      <c r="L22">
        <v>4.1264779454252238</v>
      </c>
      <c r="M22">
        <v>5.1535720174560939</v>
      </c>
      <c r="O22">
        <f/>
        <v>0.23293872331649967</v>
      </c>
      <c r="P22">
        <f/>
        <v>0.020173660835296037</v>
      </c>
      <c r="Q22">
        <f/>
        <v>0.091105828394220545</v>
      </c>
      <c r="R22">
        <f/>
        <v>0.030677945425224173</v>
      </c>
      <c r="S22">
        <f/>
        <v>-0.22492798254390589</v>
      </c>
    </row>
    <row r="23" ht="14.25">
      <c r="I23">
        <v>1.2958547348236216</v>
      </c>
      <c r="J23">
        <v>2.2346504384204411</v>
      </c>
      <c r="K23">
        <v>3.1114483694707515</v>
      </c>
      <c r="L23">
        <v>4.1075025655980104</v>
      </c>
      <c r="M23">
        <v>5.1578720408470646</v>
      </c>
      <c r="O23">
        <f/>
        <v>0.23065473482362164</v>
      </c>
      <c r="P23">
        <f/>
        <v>0.018450438420440918</v>
      </c>
      <c r="Q23">
        <f/>
        <v>0.063448369470751498</v>
      </c>
      <c r="R23">
        <f/>
        <v>0.01170256559801075</v>
      </c>
      <c r="S23">
        <f/>
        <v>-0.2206279591529352</v>
      </c>
    </row>
    <row r="24" ht="14.25">
      <c r="I24">
        <v>1.2973314188486311</v>
      </c>
      <c r="J24">
        <v>2.2319116488441937</v>
      </c>
      <c r="K24">
        <v>3.1159327971100144</v>
      </c>
      <c r="L24">
        <v>4.0710473520536397</v>
      </c>
      <c r="M24">
        <v>5.1850173775436978</v>
      </c>
      <c r="O24">
        <f/>
        <v>0.2321314188486312</v>
      </c>
      <c r="P24">
        <f/>
        <v>0.015711648844193515</v>
      </c>
      <c r="Q24">
        <f/>
        <v>0.06793279711001432</v>
      </c>
      <c r="R24">
        <f/>
        <v>-0.024752647946360007</v>
      </c>
      <c r="S24">
        <f/>
        <v>-0.19348262245630199</v>
      </c>
    </row>
    <row r="25" ht="14.25">
      <c r="I25">
        <v>1.2962110207070094</v>
      </c>
      <c r="J25">
        <v>2.2294570930440401</v>
      </c>
      <c r="K25">
        <v>3.1063859255447195</v>
      </c>
      <c r="L25">
        <v>4.0358713750422677</v>
      </c>
      <c r="M25">
        <v>5.2223848780050384</v>
      </c>
      <c r="O25">
        <f/>
        <v>0.23101102070700952</v>
      </c>
      <c r="P25">
        <f/>
        <v>0.01325709304403988</v>
      </c>
      <c r="Q25">
        <f/>
        <v>0.058385925544719441</v>
      </c>
      <c r="R25">
        <f/>
        <v>-0.059928624957731991</v>
      </c>
      <c r="S25">
        <f/>
        <v>-0.15611512199496147</v>
      </c>
    </row>
    <row r="26" ht="14.25">
      <c r="I26">
        <v>1.2969679241825964</v>
      </c>
      <c r="J26">
        <v>2.2219768350243387</v>
      </c>
      <c r="K26">
        <v>3.1051934196085105</v>
      </c>
      <c r="L26">
        <v>4.0891139699263599</v>
      </c>
      <c r="M26">
        <v>5.1923989528594019</v>
      </c>
      <c r="O26">
        <f/>
        <v>0.23176792418259651</v>
      </c>
      <c r="P26">
        <f/>
        <v>0.0057768350243385669</v>
      </c>
      <c r="Q26">
        <f/>
        <v>0.057193419608510432</v>
      </c>
      <c r="R26">
        <f/>
        <v>-0.0066860300736397704</v>
      </c>
      <c r="S26">
        <f/>
        <v>-0.18610104714059794</v>
      </c>
    </row>
    <row r="27" ht="14.25">
      <c r="I27">
        <v>1.2955470738811734</v>
      </c>
      <c r="J27">
        <v>2.2060294055817495</v>
      </c>
      <c r="K27">
        <v>3.0954193131003405</v>
      </c>
      <c r="M27">
        <v>5.1804051384762291</v>
      </c>
    </row>
    <row r="28" ht="14.25">
      <c r="I28">
        <v>1.2966434622247578</v>
      </c>
      <c r="J28">
        <v>2.2113216632968586</v>
      </c>
      <c r="K28">
        <v>3.0807000007788572</v>
      </c>
      <c r="M28">
        <v>5.1410043550825533</v>
      </c>
    </row>
    <row r="29" ht="14.25">
      <c r="I29">
        <v>1.2946332395527314</v>
      </c>
      <c r="J29">
        <v>2.2046961870036861</v>
      </c>
      <c r="K29">
        <v>3.1115849589835634</v>
      </c>
      <c r="M29">
        <v>5.1703640290170725</v>
      </c>
    </row>
    <row r="30" ht="14.25">
      <c r="J30">
        <v>2.2033034522755548</v>
      </c>
      <c r="M30">
        <v>5.1534109422472767</v>
      </c>
    </row>
    <row r="31" ht="14.25">
      <c r="M31">
        <v>5.0906897793774259</v>
      </c>
    </row>
    <row r="32" ht="14.25">
      <c r="M32">
        <v>5.1325475305567991</v>
      </c>
    </row>
    <row r="33" ht="14.25">
      <c r="M33">
        <v>5.1460316835301763</v>
      </c>
    </row>
    <row r="34" ht="14.25">
      <c r="M34">
        <v>5.1579506251492697</v>
      </c>
    </row>
    <row r="35" ht="14.25">
      <c r="M35">
        <v>5.1676426636319794</v>
      </c>
    </row>
    <row r="36" ht="14.25">
      <c r="M36">
        <v>5.1904794413973168</v>
      </c>
    </row>
    <row r="37" ht="14.25">
      <c r="M37">
        <v>5.1822328382479581</v>
      </c>
    </row>
    <row r="38" ht="14.25">
      <c r="M38">
        <v>5.1694926328301536</v>
      </c>
    </row>
    <row r="39" ht="14.25">
      <c r="M39">
        <v>5.2234764692182356</v>
      </c>
    </row>
  </sheetData>
  <mergeCells count="3">
    <mergeCell ref="B1:F1"/>
    <mergeCell ref="B10:C10"/>
    <mergeCell ref="E10:F10"/>
  </mergeCells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2</cp:revision>
  <dcterms:modified xsi:type="dcterms:W3CDTF">2026-08-01T23:44:39Z</dcterms:modified>
</cp:coreProperties>
</file>